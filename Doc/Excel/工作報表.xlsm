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e\git\MyKata\MyKata_Doc\Doc\Excel\"/>
    </mc:Choice>
  </mc:AlternateContent>
  <xr:revisionPtr revIDLastSave="0" documentId="13_ncr:1_{CBAD2A6C-92F5-474F-954E-4ABA57794B6F}" xr6:coauthVersionLast="44" xr6:coauthVersionMax="44" xr10:uidLastSave="{00000000-0000-0000-0000-000000000000}"/>
  <bookViews>
    <workbookView xWindow="-120" yWindow="-120" windowWidth="20820" windowHeight="13740" activeTab="1" xr2:uid="{690206BC-AE7E-42D5-B409-90E360743819}"/>
  </bookViews>
  <sheets>
    <sheet name="工作表4" sheetId="4" r:id="rId1"/>
    <sheet name="工作表2" sheetId="2" r:id="rId2"/>
    <sheet name="記錄" sheetId="3" r:id="rId3"/>
    <sheet name="工作表1" sheetId="5" r:id="rId4"/>
  </sheets>
  <functionGroups builtInGroupCount="19"/>
  <definedNames>
    <definedName name="_xlnm.Database">工作表2!$D:$F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1" i="5"/>
  <c r="A26" i="2"/>
  <c r="A21" i="2" l="1"/>
  <c r="A15" i="2"/>
  <c r="A2" i="2"/>
  <c r="A8" i="2"/>
</calcChain>
</file>

<file path=xl/sharedStrings.xml><?xml version="1.0" encoding="utf-8"?>
<sst xmlns="http://schemas.openxmlformats.org/spreadsheetml/2006/main" count="250" uniqueCount="124">
  <si>
    <t>回覆 mike 的問題和匯整文件(3</t>
  </si>
  <si>
    <t>多批號變更工作站(1</t>
  </si>
  <si>
    <t>SG 會議 (1</t>
  </si>
  <si>
    <t>討論台虹案的問題(.5</t>
  </si>
  <si>
    <t>回覆 mike 的問題和匯整文件</t>
    <phoneticPr fontId="1" type="noConversion"/>
  </si>
  <si>
    <t>實作 x-reason-select . event_enter  功能 100%(3</t>
  </si>
  <si>
    <t>x-reason-select  教學文件 (2.5</t>
  </si>
  <si>
    <t>協助 Jim 排除問題(.5</t>
  </si>
  <si>
    <t>回覆 mike 的問題和匯整文件(1</t>
  </si>
  <si>
    <t>排除 AD 帳號被鎖的問題 (1</t>
  </si>
  <si>
    <t>多批號變更工作站</t>
    <phoneticPr fontId="1" type="noConversion"/>
  </si>
  <si>
    <t>討論台虹案的問題</t>
    <phoneticPr fontId="1" type="noConversion"/>
  </si>
  <si>
    <t>處理 識別証照片(.5</t>
  </si>
  <si>
    <t>多批號變更工作站(5.5</t>
  </si>
  <si>
    <t>跟SAM 討論 專案階段性的問題(1.5</t>
  </si>
  <si>
    <t>跟 Ivy 說明 Report 專案結構(.5</t>
  </si>
  <si>
    <t>討論台虹案的問題(1</t>
  </si>
  <si>
    <t>協助 Ying 使用 datePicker  (.5</t>
  </si>
  <si>
    <t>多批號變更工作站 ( 3.5</t>
  </si>
  <si>
    <t>跟 Ivy 說明 MES2019 的檔案結構,程式加構細節 (3</t>
  </si>
  <si>
    <t>多批號變更工作站 (5</t>
  </si>
  <si>
    <t>討論關於 Report 開發上的議題(1</t>
  </si>
  <si>
    <t>確認  批號加帳 的問題(1.5</t>
  </si>
  <si>
    <t>匯整工作報告(.5</t>
  </si>
  <si>
    <t>協助 Jim 排除問題</t>
    <phoneticPr fontId="1" type="noConversion"/>
  </si>
  <si>
    <t>Day</t>
    <phoneticPr fontId="1" type="noConversion"/>
  </si>
  <si>
    <t>Time</t>
    <phoneticPr fontId="1" type="noConversion"/>
  </si>
  <si>
    <t>Thing</t>
    <phoneticPr fontId="1" type="noConversion"/>
  </si>
  <si>
    <t>列標籤</t>
  </si>
  <si>
    <t>總計</t>
  </si>
  <si>
    <t>加總 - Time</t>
  </si>
  <si>
    <t>討論關於 Report 開發上的議題</t>
    <phoneticPr fontId="1" type="noConversion"/>
  </si>
  <si>
    <t>確認  批號加帳 的問題</t>
    <phoneticPr fontId="1" type="noConversion"/>
  </si>
  <si>
    <t>匯整工作報告</t>
    <phoneticPr fontId="1" type="noConversion"/>
  </si>
  <si>
    <t>跟SAM 討論 專案階段性的問題</t>
    <phoneticPr fontId="1" type="noConversion"/>
  </si>
  <si>
    <t>處理 識別証照片</t>
    <phoneticPr fontId="1" type="noConversion"/>
  </si>
  <si>
    <t>實作 x-reason-select . event_enter  功能 20%(2.5</t>
    <phoneticPr fontId="1" type="noConversion"/>
  </si>
  <si>
    <t>SG 會議</t>
    <phoneticPr fontId="1" type="noConversion"/>
  </si>
  <si>
    <t>x-reason-select  教學文件</t>
    <phoneticPr fontId="1" type="noConversion"/>
  </si>
  <si>
    <t>排除 AD 帳號被鎖的問題</t>
    <phoneticPr fontId="1" type="noConversion"/>
  </si>
  <si>
    <t>跟 Ivy 說明 Report 專案結構</t>
    <phoneticPr fontId="1" type="noConversion"/>
  </si>
  <si>
    <t>協助 Ying 使用 datePicker</t>
    <phoneticPr fontId="1" type="noConversion"/>
  </si>
  <si>
    <t>跟 Ivy 說明 MES2019 的檔案結構,程式加構細節</t>
    <phoneticPr fontId="1" type="noConversion"/>
  </si>
  <si>
    <t>實作 x-reason-select . event_enter  功能</t>
    <phoneticPr fontId="1" type="noConversion"/>
  </si>
  <si>
    <t>安裝 Report 專案 需要的工具(.5</t>
  </si>
  <si>
    <t>SG會議 (1.5</t>
  </si>
  <si>
    <r>
      <t xml:space="preserve">確認 </t>
    </r>
    <r>
      <rPr>
        <sz val="11"/>
        <color theme="1"/>
        <rFont val="Calibri"/>
        <family val="2"/>
      </rPr>
      <t xml:space="preserve">DoLotCancel  , LotChangeRoute  </t>
    </r>
    <r>
      <rPr>
        <sz val="11"/>
        <color theme="1"/>
        <rFont val="Microsoft JhengHei"/>
        <family val="2"/>
        <charset val="136"/>
      </rPr>
      <t>實作內容</t>
    </r>
    <r>
      <rPr>
        <sz val="11"/>
        <color theme="1"/>
        <rFont val="Calibri"/>
        <family val="2"/>
      </rPr>
      <t>(2.5</t>
    </r>
  </si>
  <si>
    <t>跟 Ivy 請教,關於 過站時, 下列的重要物料使用紀錄 的實作問題(.5</t>
  </si>
  <si>
    <r>
      <t>研究 波若威的需求與效益 分析的問題</t>
    </r>
    <r>
      <rPr>
        <sz val="11"/>
        <color theme="1"/>
        <rFont val="Calibri"/>
        <family val="2"/>
      </rPr>
      <t>(.5</t>
    </r>
  </si>
  <si>
    <t>安裝 Report 專案 需要的工具</t>
  </si>
  <si>
    <t>SG會議</t>
  </si>
  <si>
    <t>確認 DoLotCancel  , LotChangeRoute  實作內容</t>
  </si>
  <si>
    <t>跟 Ivy 請教,關於 過站時, 下列的重要物料使用紀錄 的實作問題</t>
  </si>
  <si>
    <t>研究 波若威的需求與效益 分析的問題</t>
  </si>
  <si>
    <t>修正 Report  -  LotHistory 的顯示問題</t>
  </si>
  <si>
    <t>安裝 Report 專案 需要的工具</t>
    <phoneticPr fontId="1" type="noConversion"/>
  </si>
  <si>
    <t>SG會議</t>
    <phoneticPr fontId="1" type="noConversion"/>
  </si>
  <si>
    <t>確認 DoLotCancel  , LotChangeRoute  實作內容</t>
    <phoneticPr fontId="1" type="noConversion"/>
  </si>
  <si>
    <t>跟 Ivy 請教,關於 過站時, 下列的重要物料使用紀錄 的實作問題</t>
    <phoneticPr fontId="1" type="noConversion"/>
  </si>
  <si>
    <t>研究 波若威的需求與效益 分析的問題</t>
    <phoneticPr fontId="1" type="noConversion"/>
  </si>
  <si>
    <t>修正 Report  -  LotHistory 的顯示問題</t>
    <phoneticPr fontId="1" type="noConversion"/>
  </si>
  <si>
    <t>修正 Report  -  LotHistory 的顯示問題 60%(2.5</t>
  </si>
  <si>
    <t>回覆 Ying 的問題(.5</t>
  </si>
  <si>
    <t>研讀 波若威的文件(1.5</t>
  </si>
  <si>
    <r>
      <t>波若威工作討論</t>
    </r>
    <r>
      <rPr>
        <sz val="11"/>
        <color theme="1"/>
        <rFont val="Calibri"/>
        <family val="2"/>
      </rPr>
      <t>(.5</t>
    </r>
  </si>
  <si>
    <t>跟 Ivy 討論 程式檔案分類的方向 (.5</t>
  </si>
  <si>
    <t>回覆 Ying 的問題</t>
    <phoneticPr fontId="1" type="noConversion"/>
  </si>
  <si>
    <t>研讀 波若威的文件</t>
    <phoneticPr fontId="1" type="noConversion"/>
  </si>
  <si>
    <t>波若威工作討論</t>
    <phoneticPr fontId="1" type="noConversion"/>
  </si>
  <si>
    <t>跟 Ivy 討論 程式檔案分類的方向</t>
    <phoneticPr fontId="1" type="noConversion"/>
  </si>
  <si>
    <t>修正 Report  -  LotHistory 的顯示問題 100%(2</t>
  </si>
  <si>
    <t>回覆 Ying 的問題</t>
  </si>
  <si>
    <t>修正 Report   Iframe 自適應 和外框的問題 顯示問題 100%(1.5</t>
  </si>
  <si>
    <t>研讀 波若威的文件</t>
  </si>
  <si>
    <t>波若威工作討論</t>
  </si>
  <si>
    <t>跟 Ivy 討論 程式檔案分類的方向</t>
  </si>
  <si>
    <t>修正 Report   Iframe 自適應 和外框的問題 顯示問題</t>
  </si>
  <si>
    <t>修正 Report   Iframe 自適應 和外框的問題 顯示問題</t>
    <phoneticPr fontId="1" type="noConversion"/>
  </si>
  <si>
    <t>調整 Report  ScrollBar 顯示控式和樣式風格</t>
  </si>
  <si>
    <t>協助 Jim 排除 x-reason-select 的使用問題(.5</t>
  </si>
  <si>
    <t>協助 Ying 處理  x-reason-select 控件連動的使用問題(.5</t>
  </si>
  <si>
    <t>工作討論(1</t>
  </si>
  <si>
    <t>補充 x-reason-select 使用說明(.5</t>
  </si>
  <si>
    <t>協助 Jim 排除 x-reason-select 的使用問題</t>
  </si>
  <si>
    <t>協助 Ying 處理  x-reason-select 控件連動的使用問題</t>
  </si>
  <si>
    <t>工作討論</t>
  </si>
  <si>
    <t>補充 x-reason-select 使用說明</t>
  </si>
  <si>
    <t>協助 Jim 排除 x-reason-select 的使用問題</t>
    <phoneticPr fontId="1" type="noConversion"/>
  </si>
  <si>
    <t>協助 Ying 處理  x-reason-select 控件連動的使用問題</t>
    <phoneticPr fontId="1" type="noConversion"/>
  </si>
  <si>
    <t>工作討論</t>
    <phoneticPr fontId="1" type="noConversion"/>
  </si>
  <si>
    <t>補充 x-reason-select 使用說明</t>
    <phoneticPr fontId="1" type="noConversion"/>
  </si>
  <si>
    <t>調整 Report  ScrollBar 顯示控式和樣式風格</t>
    <phoneticPr fontId="1" type="noConversion"/>
  </si>
  <si>
    <t>BugFix(1.5</t>
  </si>
  <si>
    <t>BugFix</t>
  </si>
  <si>
    <r>
      <t xml:space="preserve">調整 Report  </t>
    </r>
    <r>
      <rPr>
        <sz val="11"/>
        <color theme="1"/>
        <rFont val="Calibri"/>
        <family val="2"/>
      </rPr>
      <t xml:space="preserve">ScrollBar </t>
    </r>
    <r>
      <rPr>
        <sz val="11"/>
        <color theme="1"/>
        <rFont val="Microsoft JhengHei"/>
        <family val="2"/>
        <charset val="136"/>
      </rPr>
      <t>顯示控式和樣式風格</t>
    </r>
    <r>
      <rPr>
        <sz val="11"/>
        <color theme="1"/>
        <rFont val="Calibri"/>
        <family val="2"/>
      </rPr>
      <t xml:space="preserve"> 90%(1.5</t>
    </r>
  </si>
  <si>
    <t>跟 joseph 追查 Vue 的顯示問題(.5</t>
  </si>
  <si>
    <t>修正 Report 首面 的  scroll 呈現問題 100%(2</t>
  </si>
  <si>
    <t>跟 joseph 追查 Vue 的顯示問題</t>
  </si>
  <si>
    <t>修正 Report 首面 的  scroll 呈現問題</t>
  </si>
  <si>
    <t>將 波若威的code 移植到 2019 版</t>
  </si>
  <si>
    <r>
      <t xml:space="preserve">調整 Report  </t>
    </r>
    <r>
      <rPr>
        <sz val="11"/>
        <color theme="1"/>
        <rFont val="Calibri"/>
        <family val="2"/>
      </rPr>
      <t xml:space="preserve">ScrollBar </t>
    </r>
    <r>
      <rPr>
        <sz val="11"/>
        <color theme="1"/>
        <rFont val="Microsoft JhengHei"/>
        <family val="2"/>
        <charset val="136"/>
      </rPr>
      <t>顯示控式和樣式風格</t>
    </r>
    <r>
      <rPr>
        <sz val="11"/>
        <color theme="1"/>
        <rFont val="Calibri"/>
        <family val="2"/>
      </rPr>
      <t xml:space="preserve"> 10%(1.5</t>
    </r>
  </si>
  <si>
    <r>
      <t xml:space="preserve">調整 Report  </t>
    </r>
    <r>
      <rPr>
        <sz val="11"/>
        <color theme="1"/>
        <rFont val="Calibri"/>
        <family val="2"/>
      </rPr>
      <t xml:space="preserve">ScrollBar </t>
    </r>
    <r>
      <rPr>
        <sz val="11"/>
        <color theme="1"/>
        <rFont val="Microsoft JhengHei"/>
        <family val="2"/>
        <charset val="136"/>
      </rPr>
      <t>顯示控式和樣式風格</t>
    </r>
    <r>
      <rPr>
        <sz val="11"/>
        <color theme="1"/>
        <rFont val="Calibri"/>
        <family val="2"/>
      </rPr>
      <t xml:space="preserve"> 90%(4</t>
    </r>
  </si>
  <si>
    <t>BugFix</t>
    <phoneticPr fontId="1" type="noConversion"/>
  </si>
  <si>
    <t>將 波若威的code 移植到 2019 版 15%(3</t>
  </si>
  <si>
    <t>跟 joseph 追查 Vue 的顯示問題</t>
    <phoneticPr fontId="1" type="noConversion"/>
  </si>
  <si>
    <t>修正 Report 首面 的  scroll 呈現問題</t>
    <phoneticPr fontId="1" type="noConversion"/>
  </si>
  <si>
    <t>將 波若威的code 移植到 2019 版</t>
    <phoneticPr fontId="1" type="noConversion"/>
  </si>
  <si>
    <t>波若威工作討論(1.5</t>
  </si>
  <si>
    <t>討論 x-select 元件控制的問題(.5</t>
  </si>
  <si>
    <t>工作報告(.5</t>
  </si>
  <si>
    <t>Fix-Report 首面 的scroll 隱藏造成畫面閃動的問題</t>
  </si>
  <si>
    <t>協助 joseph 排除 頁面部件的排版問題</t>
  </si>
  <si>
    <t>討論 x-select 元件控制的問題</t>
  </si>
  <si>
    <t>工作報告</t>
  </si>
  <si>
    <t>Fix-Report 首面 的scroll 隱藏造成畫面閃動的問題</t>
    <phoneticPr fontId="1" type="noConversion"/>
  </si>
  <si>
    <t>Fix-Report 首面 的scroll 隱藏造成畫面閃動的問題 100%(2.5</t>
  </si>
  <si>
    <t>協助 joseph 排除 頁面部件的排版問題(2</t>
  </si>
  <si>
    <t>協助 joseph 排除 頁面部件的排版問題</t>
    <phoneticPr fontId="1" type="noConversion"/>
  </si>
  <si>
    <t>討論 x-select 元件控制的問題</t>
    <phoneticPr fontId="1" type="noConversion"/>
  </si>
  <si>
    <t>工作報告</t>
    <phoneticPr fontId="1" type="noConversion"/>
  </si>
  <si>
    <t>將 波若威的code 移植到 2019 版 20%(1</t>
    <phoneticPr fontId="1" type="noConversion"/>
  </si>
  <si>
    <t>OT</t>
    <phoneticPr fontId="1" type="noConversion"/>
  </si>
  <si>
    <t>Report</t>
    <phoneticPr fontId="1" type="noConversion"/>
  </si>
  <si>
    <t>DOC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</si>
</sst>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Microsoft JhengHei"/>
      <family val="2"/>
      <charset val="136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 applyAlignment="1">
      <alignment horizontal="left" vertical="center" indent="2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>
      <alignment vertical="center"/>
    </xf>
    <xf numFmtId="0" fontId="3" fillId="0" borderId="0" xfId="0" applyFont="1" applyAlignment="1">
      <alignment horizontal="left" vertical="center" indent="2"/>
    </xf>
    <xf numFmtId="176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ny" refreshedDate="43903.710713541666" createdVersion="6" refreshedVersion="6" minRefreshableVersion="3" recordCount="31" xr:uid="{138A1EDD-B6FA-4A11-98B7-1E1BE4CF4752}">
  <cacheSource type="worksheet">
    <worksheetSource name="_xlnm.Database"/>
  </cacheSource>
  <cacheFields count="3">
    <cacheField name="Thing" numFmtId="0">
      <sharedItems containsBlank="1" count="25">
        <s v="安裝 Report 專案 需要的工具"/>
        <s v="SG會議"/>
        <s v="確認 DoLotCancel  , LotChangeRoute  實作內容"/>
        <s v="跟 Ivy 請教,關於 過站時, 下列的重要物料使用紀錄 的實作問題"/>
        <s v="研究 波若威的需求與效益 分析的問題"/>
        <s v="修正 Report  -  LotHistory 的顯示問題"/>
        <s v="回覆 Ying 的問題"/>
        <s v="研讀 波若威的文件"/>
        <s v="波若威工作討論"/>
        <s v="跟 Ivy 討論 程式檔案分類的方向"/>
        <s v="修正 Report   Iframe 自適應 和外框的問題 顯示問題"/>
        <s v="調整 Report  ScrollBar 顯示控式和樣式風格"/>
        <s v="協助 Jim 排除 x-reason-select 的使用問題"/>
        <s v="協助 Ying 處理  x-reason-select 控件連動的使用問題"/>
        <s v="工作討論"/>
        <s v="補充 x-reason-select 使用說明"/>
        <s v="BugFix"/>
        <s v="跟 joseph 追查 Vue 的顯示問題"/>
        <s v="修正 Report 首面 的  scroll 呈現問題"/>
        <s v="將 波若威的code 移植到 2019 版"/>
        <s v="Fix-Report 首面 的scroll 隱藏造成畫面閃動的問題"/>
        <s v="協助 joseph 排除 頁面部件的排版問題"/>
        <s v="討論 x-select 元件控制的問題"/>
        <s v="工作報告"/>
        <m/>
      </sharedItems>
    </cacheField>
    <cacheField name="Time" numFmtId="0">
      <sharedItems containsString="0" containsBlank="1" containsNumber="1" minValue="0.5" maxValue="4"/>
    </cacheField>
    <cacheField name="Day" numFmtId="0">
      <sharedItems containsString="0" containsBlank="1" containsNumber="1" containsInteger="1" minValue="9" maxValue="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x v="0"/>
    <n v="0.5"/>
    <n v="9"/>
  </r>
  <r>
    <x v="1"/>
    <n v="1.5"/>
    <n v="9"/>
  </r>
  <r>
    <x v="2"/>
    <n v="2.5"/>
    <n v="9"/>
  </r>
  <r>
    <x v="3"/>
    <n v="0.5"/>
    <n v="9"/>
  </r>
  <r>
    <x v="4"/>
    <n v="0.5"/>
    <n v="9"/>
  </r>
  <r>
    <x v="5"/>
    <n v="2.5"/>
    <n v="9"/>
  </r>
  <r>
    <x v="6"/>
    <n v="0.5"/>
    <n v="10"/>
  </r>
  <r>
    <x v="7"/>
    <n v="1.5"/>
    <n v="10"/>
  </r>
  <r>
    <x v="8"/>
    <n v="0.5"/>
    <n v="10"/>
  </r>
  <r>
    <x v="9"/>
    <n v="0.5"/>
    <n v="10"/>
  </r>
  <r>
    <x v="5"/>
    <n v="2"/>
    <n v="10"/>
  </r>
  <r>
    <x v="10"/>
    <n v="1.5"/>
    <n v="10"/>
  </r>
  <r>
    <x v="11"/>
    <n v="1.5"/>
    <n v="10"/>
  </r>
  <r>
    <x v="12"/>
    <n v="0.5"/>
    <n v="11"/>
  </r>
  <r>
    <x v="13"/>
    <n v="0.5"/>
    <n v="11"/>
  </r>
  <r>
    <x v="14"/>
    <n v="1"/>
    <n v="11"/>
  </r>
  <r>
    <x v="15"/>
    <n v="0.5"/>
    <n v="11"/>
  </r>
  <r>
    <x v="11"/>
    <n v="4"/>
    <n v="11"/>
  </r>
  <r>
    <x v="16"/>
    <n v="1.5"/>
    <n v="11"/>
  </r>
  <r>
    <x v="11"/>
    <n v="1.5"/>
    <n v="12"/>
  </r>
  <r>
    <x v="17"/>
    <n v="0.5"/>
    <n v="12"/>
  </r>
  <r>
    <x v="14"/>
    <n v="1"/>
    <n v="12"/>
  </r>
  <r>
    <x v="18"/>
    <n v="2"/>
    <n v="12"/>
  </r>
  <r>
    <x v="19"/>
    <n v="3"/>
    <n v="12"/>
  </r>
  <r>
    <x v="20"/>
    <n v="2.5"/>
    <n v="13"/>
  </r>
  <r>
    <x v="8"/>
    <n v="1.5"/>
    <n v="13"/>
  </r>
  <r>
    <x v="21"/>
    <n v="2"/>
    <n v="13"/>
  </r>
  <r>
    <x v="22"/>
    <n v="0.5"/>
    <n v="13"/>
  </r>
  <r>
    <x v="19"/>
    <n v="1"/>
    <n v="13"/>
  </r>
  <r>
    <x v="23"/>
    <n v="0.5"/>
    <n v="13"/>
  </r>
  <r>
    <x v="2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76F8EC-FF3D-4269-8420-AF4C1C7188C9}" name="樞紐分析表1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B2:C27" firstHeaderRow="1" firstDataRow="1" firstDataCol="1"/>
  <pivotFields count="3">
    <pivotField axis="axisRow" showAll="0">
      <items count="26">
        <item x="1"/>
        <item x="0"/>
        <item x="4"/>
        <item x="5"/>
        <item x="3"/>
        <item x="2"/>
        <item h="1" x="2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dataField="1" showAll="0"/>
    <pivotField showAll="0"/>
  </pivotFields>
  <rowFields count="1">
    <field x="0"/>
  </rowFields>
  <rowItems count="25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加總 - Time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49D09-DAA5-419A-A08D-2E21BA19EFAD}">
  <sheetPr codeName="工作表4"/>
  <dimension ref="A2:C27"/>
  <sheetViews>
    <sheetView topLeftCell="A4" workbookViewId="0">
      <selection activeCell="A3" sqref="A3:C26"/>
    </sheetView>
  </sheetViews>
  <sheetFormatPr defaultRowHeight="16.5"/>
  <cols>
    <col min="1" max="1" width="8.375" customWidth="1"/>
    <col min="2" max="2" width="60.625" bestFit="1" customWidth="1"/>
    <col min="3" max="3" width="12.75" bestFit="1" customWidth="1"/>
    <col min="4" max="5" width="4.5" bestFit="1" customWidth="1"/>
    <col min="6" max="8" width="6" bestFit="1" customWidth="1"/>
  </cols>
  <sheetData>
    <row r="2" spans="1:3">
      <c r="B2" s="3" t="s">
        <v>28</v>
      </c>
      <c r="C2" t="s">
        <v>30</v>
      </c>
    </row>
    <row r="3" spans="1:3">
      <c r="A3" t="s">
        <v>121</v>
      </c>
      <c r="B3" s="4" t="s">
        <v>50</v>
      </c>
      <c r="C3" s="2">
        <v>1.5</v>
      </c>
    </row>
    <row r="4" spans="1:3">
      <c r="A4" t="s">
        <v>122</v>
      </c>
      <c r="B4" s="4" t="s">
        <v>49</v>
      </c>
      <c r="C4" s="2">
        <v>0.5</v>
      </c>
    </row>
    <row r="5" spans="1:3">
      <c r="A5" t="s">
        <v>121</v>
      </c>
      <c r="B5" s="4" t="s">
        <v>53</v>
      </c>
      <c r="C5" s="2">
        <v>0.5</v>
      </c>
    </row>
    <row r="6" spans="1:3">
      <c r="A6" t="s">
        <v>122</v>
      </c>
      <c r="B6" s="4" t="s">
        <v>54</v>
      </c>
      <c r="C6" s="2">
        <v>4.5</v>
      </c>
    </row>
    <row r="7" spans="1:3">
      <c r="A7" t="s">
        <v>121</v>
      </c>
      <c r="B7" s="4" t="s">
        <v>52</v>
      </c>
      <c r="C7" s="2">
        <v>0.5</v>
      </c>
    </row>
    <row r="8" spans="1:3">
      <c r="A8">
        <v>2019</v>
      </c>
      <c r="B8" s="4" t="s">
        <v>51</v>
      </c>
      <c r="C8" s="2">
        <v>2.5</v>
      </c>
    </row>
    <row r="9" spans="1:3">
      <c r="A9">
        <v>2019</v>
      </c>
      <c r="B9" s="4" t="s">
        <v>71</v>
      </c>
      <c r="C9" s="2">
        <v>0.5</v>
      </c>
    </row>
    <row r="10" spans="1:3">
      <c r="A10" t="s">
        <v>121</v>
      </c>
      <c r="B10" s="4" t="s">
        <v>73</v>
      </c>
      <c r="C10" s="2">
        <v>1.5</v>
      </c>
    </row>
    <row r="11" spans="1:3">
      <c r="A11" t="s">
        <v>121</v>
      </c>
      <c r="B11" s="4" t="s">
        <v>74</v>
      </c>
      <c r="C11" s="2">
        <v>2</v>
      </c>
    </row>
    <row r="12" spans="1:3">
      <c r="A12" t="s">
        <v>121</v>
      </c>
      <c r="B12" s="4" t="s">
        <v>75</v>
      </c>
      <c r="C12" s="2">
        <v>0.5</v>
      </c>
    </row>
    <row r="13" spans="1:3">
      <c r="A13" t="s">
        <v>122</v>
      </c>
      <c r="B13" s="4" t="s">
        <v>76</v>
      </c>
      <c r="C13" s="2">
        <v>1.5</v>
      </c>
    </row>
    <row r="14" spans="1:3">
      <c r="A14" t="s">
        <v>122</v>
      </c>
      <c r="B14" s="4" t="s">
        <v>78</v>
      </c>
      <c r="C14" s="2">
        <v>7</v>
      </c>
    </row>
    <row r="15" spans="1:3">
      <c r="A15">
        <v>2019</v>
      </c>
      <c r="B15" s="4" t="s">
        <v>83</v>
      </c>
      <c r="C15" s="2">
        <v>0.5</v>
      </c>
    </row>
    <row r="16" spans="1:3">
      <c r="A16">
        <v>2019</v>
      </c>
      <c r="B16" s="4" t="s">
        <v>84</v>
      </c>
      <c r="C16" s="2">
        <v>0.5</v>
      </c>
    </row>
    <row r="17" spans="1:3">
      <c r="A17" t="s">
        <v>121</v>
      </c>
      <c r="B17" s="4" t="s">
        <v>85</v>
      </c>
      <c r="C17" s="2">
        <v>2</v>
      </c>
    </row>
    <row r="18" spans="1:3">
      <c r="A18" t="s">
        <v>123</v>
      </c>
      <c r="B18" s="4" t="s">
        <v>86</v>
      </c>
      <c r="C18" s="2">
        <v>0.5</v>
      </c>
    </row>
    <row r="19" spans="1:3">
      <c r="A19">
        <v>2019</v>
      </c>
      <c r="B19" s="4" t="s">
        <v>93</v>
      </c>
      <c r="C19" s="2">
        <v>1.5</v>
      </c>
    </row>
    <row r="20" spans="1:3">
      <c r="A20">
        <v>2019</v>
      </c>
      <c r="B20" s="4" t="s">
        <v>97</v>
      </c>
      <c r="C20" s="2">
        <v>0.5</v>
      </c>
    </row>
    <row r="21" spans="1:3">
      <c r="A21" t="s">
        <v>122</v>
      </c>
      <c r="B21" s="4" t="s">
        <v>98</v>
      </c>
      <c r="C21" s="2">
        <v>2</v>
      </c>
    </row>
    <row r="22" spans="1:3">
      <c r="A22">
        <v>2019</v>
      </c>
      <c r="B22" s="4" t="s">
        <v>99</v>
      </c>
      <c r="C22" s="2">
        <v>4</v>
      </c>
    </row>
    <row r="23" spans="1:3">
      <c r="A23" t="s">
        <v>122</v>
      </c>
      <c r="B23" s="4" t="s">
        <v>110</v>
      </c>
      <c r="C23" s="2">
        <v>2.5</v>
      </c>
    </row>
    <row r="24" spans="1:3">
      <c r="A24">
        <v>2019</v>
      </c>
      <c r="B24" s="4" t="s">
        <v>111</v>
      </c>
      <c r="C24" s="2">
        <v>2</v>
      </c>
    </row>
    <row r="25" spans="1:3">
      <c r="A25" t="s">
        <v>121</v>
      </c>
      <c r="B25" s="4" t="s">
        <v>112</v>
      </c>
      <c r="C25" s="2">
        <v>0.5</v>
      </c>
    </row>
    <row r="26" spans="1:3">
      <c r="A26" t="s">
        <v>121</v>
      </c>
      <c r="B26" s="4" t="s">
        <v>113</v>
      </c>
      <c r="C26" s="2">
        <v>0.5</v>
      </c>
    </row>
    <row r="27" spans="1:3">
      <c r="B27" s="4" t="s">
        <v>29</v>
      </c>
      <c r="C27" s="2">
        <v>40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5E101-F7A9-4A33-A859-4F1612B46FEB}">
  <sheetPr codeName="工作表2"/>
  <dimension ref="A1:F31"/>
  <sheetViews>
    <sheetView tabSelected="1" topLeftCell="A19" workbookViewId="0">
      <selection activeCell="H14" sqref="H14"/>
    </sheetView>
  </sheetViews>
  <sheetFormatPr defaultRowHeight="16.5"/>
  <cols>
    <col min="1" max="1" width="6.25" customWidth="1"/>
    <col min="2" max="2" width="3.5" bestFit="1" customWidth="1"/>
    <col min="4" max="4" width="48.25" customWidth="1"/>
  </cols>
  <sheetData>
    <row r="1" spans="1:6">
      <c r="A1" s="7"/>
      <c r="D1" t="s">
        <v>27</v>
      </c>
      <c r="E1" t="s">
        <v>26</v>
      </c>
      <c r="F1" t="s">
        <v>25</v>
      </c>
    </row>
    <row r="2" spans="1:6">
      <c r="A2" s="7">
        <f>SUMIF(F:F,B2,E:E)</f>
        <v>8</v>
      </c>
      <c r="B2">
        <v>9</v>
      </c>
      <c r="C2" s="1" t="s">
        <v>44</v>
      </c>
      <c r="D2" t="s">
        <v>55</v>
      </c>
      <c r="E2">
        <v>0.5</v>
      </c>
      <c r="F2">
        <v>9</v>
      </c>
    </row>
    <row r="3" spans="1:6">
      <c r="A3" s="7"/>
      <c r="C3" s="1" t="s">
        <v>45</v>
      </c>
      <c r="D3" t="s">
        <v>56</v>
      </c>
      <c r="E3">
        <v>1.5</v>
      </c>
      <c r="F3">
        <v>9</v>
      </c>
    </row>
    <row r="4" spans="1:6">
      <c r="A4" s="7"/>
      <c r="C4" s="1" t="s">
        <v>46</v>
      </c>
      <c r="D4" t="s">
        <v>57</v>
      </c>
      <c r="E4">
        <v>2.5</v>
      </c>
      <c r="F4">
        <v>9</v>
      </c>
    </row>
    <row r="5" spans="1:6">
      <c r="A5" s="7"/>
      <c r="C5" s="1" t="s">
        <v>47</v>
      </c>
      <c r="D5" t="s">
        <v>58</v>
      </c>
      <c r="E5">
        <v>0.5</v>
      </c>
      <c r="F5">
        <v>9</v>
      </c>
    </row>
    <row r="6" spans="1:6">
      <c r="A6" s="7"/>
      <c r="C6" s="1" t="s">
        <v>48</v>
      </c>
      <c r="D6" t="s">
        <v>59</v>
      </c>
      <c r="E6">
        <v>0.5</v>
      </c>
      <c r="F6">
        <v>9</v>
      </c>
    </row>
    <row r="7" spans="1:6">
      <c r="A7" s="7"/>
      <c r="C7" s="5" t="s">
        <v>61</v>
      </c>
      <c r="D7" t="s">
        <v>60</v>
      </c>
      <c r="E7">
        <v>2.5</v>
      </c>
      <c r="F7">
        <v>9</v>
      </c>
    </row>
    <row r="8" spans="1:6">
      <c r="A8" s="7">
        <f>SUMIF(F:F,B8,E:E)</f>
        <v>8</v>
      </c>
      <c r="B8">
        <v>10</v>
      </c>
      <c r="C8" s="1" t="s">
        <v>62</v>
      </c>
      <c r="D8" t="s">
        <v>66</v>
      </c>
      <c r="E8">
        <v>0.5</v>
      </c>
      <c r="F8">
        <v>10</v>
      </c>
    </row>
    <row r="9" spans="1:6">
      <c r="A9" s="7"/>
      <c r="C9" s="1" t="s">
        <v>63</v>
      </c>
      <c r="D9" t="s">
        <v>67</v>
      </c>
      <c r="E9">
        <v>1.5</v>
      </c>
      <c r="F9">
        <v>10</v>
      </c>
    </row>
    <row r="10" spans="1:6">
      <c r="A10" s="7"/>
      <c r="C10" s="1" t="s">
        <v>64</v>
      </c>
      <c r="D10" t="s">
        <v>68</v>
      </c>
      <c r="E10">
        <v>0.5</v>
      </c>
      <c r="F10">
        <v>10</v>
      </c>
    </row>
    <row r="11" spans="1:6">
      <c r="A11" s="7"/>
      <c r="C11" s="1" t="s">
        <v>65</v>
      </c>
      <c r="D11" t="s">
        <v>69</v>
      </c>
      <c r="E11">
        <v>0.5</v>
      </c>
      <c r="F11">
        <v>10</v>
      </c>
    </row>
    <row r="12" spans="1:6">
      <c r="A12" s="7"/>
      <c r="C12" s="1" t="s">
        <v>70</v>
      </c>
      <c r="D12" t="s">
        <v>60</v>
      </c>
      <c r="E12">
        <v>2</v>
      </c>
      <c r="F12">
        <v>10</v>
      </c>
    </row>
    <row r="13" spans="1:6">
      <c r="A13" s="7"/>
      <c r="C13" s="1" t="s">
        <v>72</v>
      </c>
      <c r="D13" t="s">
        <v>77</v>
      </c>
      <c r="E13">
        <v>1.5</v>
      </c>
      <c r="F13">
        <v>10</v>
      </c>
    </row>
    <row r="14" spans="1:6">
      <c r="A14" s="7"/>
      <c r="C14" s="1" t="s">
        <v>100</v>
      </c>
      <c r="D14" t="s">
        <v>91</v>
      </c>
      <c r="E14">
        <v>1.5</v>
      </c>
      <c r="F14">
        <v>10</v>
      </c>
    </row>
    <row r="15" spans="1:6">
      <c r="A15" s="7">
        <f>SUMIF(F:F,B15,E:E)</f>
        <v>8</v>
      </c>
      <c r="B15">
        <v>11</v>
      </c>
      <c r="C15" s="1" t="s">
        <v>79</v>
      </c>
      <c r="D15" t="s">
        <v>87</v>
      </c>
      <c r="E15">
        <v>0.5</v>
      </c>
      <c r="F15">
        <v>11</v>
      </c>
    </row>
    <row r="16" spans="1:6">
      <c r="A16" s="7"/>
      <c r="C16" s="1" t="s">
        <v>80</v>
      </c>
      <c r="D16" t="s">
        <v>88</v>
      </c>
      <c r="E16">
        <v>0.5</v>
      </c>
      <c r="F16">
        <v>11</v>
      </c>
    </row>
    <row r="17" spans="1:6">
      <c r="A17" s="7"/>
      <c r="C17" s="1" t="s">
        <v>81</v>
      </c>
      <c r="D17" t="s">
        <v>89</v>
      </c>
      <c r="E17">
        <v>1</v>
      </c>
      <c r="F17">
        <v>11</v>
      </c>
    </row>
    <row r="18" spans="1:6">
      <c r="A18" s="7"/>
      <c r="C18" s="1" t="s">
        <v>82</v>
      </c>
      <c r="D18" t="s">
        <v>90</v>
      </c>
      <c r="E18">
        <v>0.5</v>
      </c>
      <c r="F18">
        <v>11</v>
      </c>
    </row>
    <row r="19" spans="1:6">
      <c r="A19" s="7"/>
      <c r="C19" s="1" t="s">
        <v>101</v>
      </c>
      <c r="D19" t="s">
        <v>91</v>
      </c>
      <c r="E19">
        <v>4</v>
      </c>
      <c r="F19">
        <v>11</v>
      </c>
    </row>
    <row r="20" spans="1:6">
      <c r="A20" s="7"/>
      <c r="C20" s="6" t="s">
        <v>92</v>
      </c>
      <c r="D20" t="s">
        <v>102</v>
      </c>
      <c r="E20">
        <v>1.5</v>
      </c>
      <c r="F20">
        <v>11</v>
      </c>
    </row>
    <row r="21" spans="1:6">
      <c r="A21" s="7">
        <f>SUMIF(F:F,B21,E:E)</f>
        <v>8</v>
      </c>
      <c r="B21">
        <v>12</v>
      </c>
      <c r="C21" s="1" t="s">
        <v>94</v>
      </c>
      <c r="D21" t="s">
        <v>91</v>
      </c>
      <c r="E21">
        <v>1.5</v>
      </c>
      <c r="F21">
        <v>12</v>
      </c>
    </row>
    <row r="22" spans="1:6">
      <c r="A22" s="7"/>
      <c r="C22" s="1" t="s">
        <v>95</v>
      </c>
      <c r="D22" t="s">
        <v>104</v>
      </c>
      <c r="E22">
        <v>0.5</v>
      </c>
      <c r="F22">
        <v>12</v>
      </c>
    </row>
    <row r="23" spans="1:6">
      <c r="A23" s="7"/>
      <c r="C23" s="1" t="s">
        <v>81</v>
      </c>
      <c r="D23" t="s">
        <v>89</v>
      </c>
      <c r="E23">
        <v>1</v>
      </c>
      <c r="F23">
        <v>12</v>
      </c>
    </row>
    <row r="24" spans="1:6">
      <c r="A24" s="7"/>
      <c r="C24" s="1" t="s">
        <v>96</v>
      </c>
      <c r="D24" t="s">
        <v>105</v>
      </c>
      <c r="E24">
        <v>2</v>
      </c>
      <c r="F24">
        <v>12</v>
      </c>
    </row>
    <row r="25" spans="1:6">
      <c r="C25" s="1" t="s">
        <v>103</v>
      </c>
      <c r="D25" t="s">
        <v>106</v>
      </c>
      <c r="E25">
        <v>3</v>
      </c>
      <c r="F25">
        <v>12</v>
      </c>
    </row>
    <row r="26" spans="1:6">
      <c r="A26" s="7">
        <f>SUMIF(F:F,B26,E:E)</f>
        <v>8</v>
      </c>
      <c r="B26">
        <v>13</v>
      </c>
      <c r="C26" s="1" t="s">
        <v>115</v>
      </c>
      <c r="D26" t="s">
        <v>114</v>
      </c>
      <c r="E26">
        <v>2.5</v>
      </c>
      <c r="F26">
        <v>13</v>
      </c>
    </row>
    <row r="27" spans="1:6">
      <c r="C27" s="1" t="s">
        <v>107</v>
      </c>
      <c r="D27" t="s">
        <v>68</v>
      </c>
      <c r="E27">
        <v>1.5</v>
      </c>
      <c r="F27">
        <v>13</v>
      </c>
    </row>
    <row r="28" spans="1:6">
      <c r="C28" s="1" t="s">
        <v>116</v>
      </c>
      <c r="D28" t="s">
        <v>117</v>
      </c>
      <c r="E28">
        <v>2</v>
      </c>
      <c r="F28">
        <v>13</v>
      </c>
    </row>
    <row r="29" spans="1:6">
      <c r="C29" s="1" t="s">
        <v>108</v>
      </c>
      <c r="D29" t="s">
        <v>118</v>
      </c>
      <c r="E29">
        <v>0.5</v>
      </c>
      <c r="F29">
        <v>13</v>
      </c>
    </row>
    <row r="30" spans="1:6">
      <c r="C30" s="1" t="s">
        <v>120</v>
      </c>
      <c r="D30" t="s">
        <v>106</v>
      </c>
      <c r="E30">
        <v>1</v>
      </c>
      <c r="F30">
        <v>13</v>
      </c>
    </row>
    <row r="31" spans="1:6">
      <c r="C31" s="1" t="s">
        <v>109</v>
      </c>
      <c r="D31" t="s">
        <v>119</v>
      </c>
      <c r="E31">
        <v>0.5</v>
      </c>
      <c r="F31">
        <v>13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5680C-3443-44EE-B3AD-3F044592A59A}">
  <sheetPr codeName="工作表3"/>
  <dimension ref="A2:E53"/>
  <sheetViews>
    <sheetView workbookViewId="0"/>
  </sheetViews>
  <sheetFormatPr defaultRowHeight="16.5"/>
  <cols>
    <col min="3" max="3" width="60.625" bestFit="1" customWidth="1"/>
  </cols>
  <sheetData>
    <row r="2" spans="1:5">
      <c r="A2">
        <v>2</v>
      </c>
      <c r="B2" s="1" t="s">
        <v>0</v>
      </c>
      <c r="C2" t="s">
        <v>4</v>
      </c>
      <c r="D2">
        <v>3</v>
      </c>
      <c r="E2">
        <v>2</v>
      </c>
    </row>
    <row r="3" spans="1:5">
      <c r="B3" s="1" t="s">
        <v>1</v>
      </c>
      <c r="C3" t="s">
        <v>10</v>
      </c>
      <c r="D3">
        <v>1</v>
      </c>
      <c r="E3">
        <v>2</v>
      </c>
    </row>
    <row r="4" spans="1:5">
      <c r="B4" s="1" t="s">
        <v>2</v>
      </c>
      <c r="C4" t="s">
        <v>37</v>
      </c>
      <c r="D4">
        <v>1</v>
      </c>
      <c r="E4">
        <v>2</v>
      </c>
    </row>
    <row r="5" spans="1:5">
      <c r="B5" s="1" t="s">
        <v>3</v>
      </c>
      <c r="C5" t="s">
        <v>11</v>
      </c>
      <c r="D5">
        <v>0.5</v>
      </c>
      <c r="E5">
        <v>2</v>
      </c>
    </row>
    <row r="6" spans="1:5">
      <c r="B6" s="1" t="s">
        <v>36</v>
      </c>
      <c r="C6" t="s">
        <v>43</v>
      </c>
      <c r="D6">
        <v>2.5</v>
      </c>
      <c r="E6">
        <v>2</v>
      </c>
    </row>
    <row r="7" spans="1:5">
      <c r="A7">
        <v>3</v>
      </c>
      <c r="B7" s="1" t="s">
        <v>5</v>
      </c>
      <c r="C7" t="s">
        <v>43</v>
      </c>
      <c r="D7">
        <v>3</v>
      </c>
      <c r="E7">
        <v>3</v>
      </c>
    </row>
    <row r="8" spans="1:5">
      <c r="B8" s="1" t="s">
        <v>6</v>
      </c>
      <c r="C8" t="s">
        <v>38</v>
      </c>
      <c r="D8">
        <v>2.5</v>
      </c>
      <c r="E8">
        <v>3</v>
      </c>
    </row>
    <row r="9" spans="1:5">
      <c r="B9" s="1" t="s">
        <v>7</v>
      </c>
      <c r="C9" t="s">
        <v>24</v>
      </c>
      <c r="D9">
        <v>0.5</v>
      </c>
      <c r="E9">
        <v>3</v>
      </c>
    </row>
    <row r="10" spans="1:5">
      <c r="B10" s="1" t="s">
        <v>8</v>
      </c>
      <c r="C10" t="s">
        <v>4</v>
      </c>
      <c r="D10">
        <v>1</v>
      </c>
      <c r="E10">
        <v>3</v>
      </c>
    </row>
    <row r="11" spans="1:5">
      <c r="B11" s="1" t="s">
        <v>9</v>
      </c>
      <c r="C11" t="s">
        <v>39</v>
      </c>
      <c r="D11">
        <v>1</v>
      </c>
      <c r="E11">
        <v>3</v>
      </c>
    </row>
    <row r="12" spans="1:5">
      <c r="A12">
        <v>4</v>
      </c>
      <c r="B12" s="1" t="s">
        <v>12</v>
      </c>
      <c r="C12" t="s">
        <v>35</v>
      </c>
      <c r="D12">
        <v>0.5</v>
      </c>
      <c r="E12">
        <v>4</v>
      </c>
    </row>
    <row r="13" spans="1:5">
      <c r="B13" s="1" t="s">
        <v>13</v>
      </c>
      <c r="C13" t="s">
        <v>10</v>
      </c>
      <c r="D13">
        <v>5.5</v>
      </c>
      <c r="E13">
        <v>4</v>
      </c>
    </row>
    <row r="14" spans="1:5">
      <c r="B14" s="1" t="s">
        <v>14</v>
      </c>
      <c r="C14" t="s">
        <v>34</v>
      </c>
      <c r="D14">
        <v>1.5</v>
      </c>
      <c r="E14">
        <v>4</v>
      </c>
    </row>
    <row r="15" spans="1:5">
      <c r="B15" s="1" t="s">
        <v>15</v>
      </c>
      <c r="C15" t="s">
        <v>40</v>
      </c>
      <c r="D15">
        <v>0.5</v>
      </c>
      <c r="E15">
        <v>4</v>
      </c>
    </row>
    <row r="16" spans="1:5">
      <c r="A16">
        <v>5</v>
      </c>
      <c r="B16" s="1" t="s">
        <v>16</v>
      </c>
      <c r="C16" t="s">
        <v>11</v>
      </c>
      <c r="D16">
        <v>1</v>
      </c>
      <c r="E16">
        <v>5</v>
      </c>
    </row>
    <row r="17" spans="1:5">
      <c r="B17" s="1" t="s">
        <v>17</v>
      </c>
      <c r="C17" t="s">
        <v>41</v>
      </c>
      <c r="D17">
        <v>0.5</v>
      </c>
      <c r="E17">
        <v>5</v>
      </c>
    </row>
    <row r="18" spans="1:5">
      <c r="B18" s="1" t="s">
        <v>18</v>
      </c>
      <c r="C18" t="s">
        <v>10</v>
      </c>
      <c r="D18">
        <v>3.5</v>
      </c>
      <c r="E18">
        <v>5</v>
      </c>
    </row>
    <row r="19" spans="1:5">
      <c r="B19" s="1" t="s">
        <v>19</v>
      </c>
      <c r="C19" t="s">
        <v>42</v>
      </c>
      <c r="D19">
        <v>3</v>
      </c>
      <c r="E19">
        <v>5</v>
      </c>
    </row>
    <row r="20" spans="1:5">
      <c r="A20">
        <v>6</v>
      </c>
      <c r="B20" s="1" t="s">
        <v>20</v>
      </c>
      <c r="C20" t="s">
        <v>10</v>
      </c>
      <c r="D20">
        <v>5</v>
      </c>
      <c r="E20">
        <v>6</v>
      </c>
    </row>
    <row r="21" spans="1:5">
      <c r="B21" s="1" t="s">
        <v>21</v>
      </c>
      <c r="C21" t="s">
        <v>31</v>
      </c>
      <c r="D21">
        <v>1</v>
      </c>
      <c r="E21">
        <v>6</v>
      </c>
    </row>
    <row r="22" spans="1:5">
      <c r="B22" s="1" t="s">
        <v>22</v>
      </c>
      <c r="C22" t="s">
        <v>32</v>
      </c>
      <c r="D22">
        <v>1.5</v>
      </c>
      <c r="E22">
        <v>6</v>
      </c>
    </row>
    <row r="23" spans="1:5">
      <c r="B23" s="1" t="s">
        <v>23</v>
      </c>
      <c r="C23" t="s">
        <v>33</v>
      </c>
      <c r="D23">
        <v>0.5</v>
      </c>
      <c r="E23">
        <v>6</v>
      </c>
    </row>
    <row r="24" spans="1:5">
      <c r="A24">
        <v>9</v>
      </c>
      <c r="B24" s="1" t="s">
        <v>44</v>
      </c>
      <c r="C24" t="s">
        <v>55</v>
      </c>
      <c r="D24">
        <v>0.5</v>
      </c>
      <c r="E24">
        <v>9</v>
      </c>
    </row>
    <row r="25" spans="1:5">
      <c r="B25" s="1" t="s">
        <v>45</v>
      </c>
      <c r="C25" t="s">
        <v>56</v>
      </c>
      <c r="D25">
        <v>1.5</v>
      </c>
      <c r="E25">
        <v>9</v>
      </c>
    </row>
    <row r="26" spans="1:5">
      <c r="B26" s="1" t="s">
        <v>46</v>
      </c>
      <c r="C26" t="s">
        <v>57</v>
      </c>
      <c r="D26">
        <v>2.5</v>
      </c>
      <c r="E26">
        <v>9</v>
      </c>
    </row>
    <row r="27" spans="1:5">
      <c r="B27" s="1" t="s">
        <v>47</v>
      </c>
      <c r="C27" t="s">
        <v>58</v>
      </c>
      <c r="D27">
        <v>0.5</v>
      </c>
      <c r="E27">
        <v>9</v>
      </c>
    </row>
    <row r="28" spans="1:5">
      <c r="B28" s="1" t="s">
        <v>48</v>
      </c>
      <c r="C28" t="s">
        <v>59</v>
      </c>
      <c r="D28">
        <v>0.5</v>
      </c>
      <c r="E28">
        <v>9</v>
      </c>
    </row>
    <row r="29" spans="1:5">
      <c r="B29" s="5" t="s">
        <v>61</v>
      </c>
      <c r="C29" t="s">
        <v>60</v>
      </c>
      <c r="D29">
        <v>2.5</v>
      </c>
      <c r="E29">
        <v>9</v>
      </c>
    </row>
    <row r="30" spans="1:5">
      <c r="A30">
        <v>10</v>
      </c>
      <c r="B30" s="1" t="s">
        <v>62</v>
      </c>
      <c r="C30" t="s">
        <v>66</v>
      </c>
      <c r="D30">
        <v>0.5</v>
      </c>
      <c r="E30">
        <v>10</v>
      </c>
    </row>
    <row r="31" spans="1:5">
      <c r="B31" s="1" t="s">
        <v>63</v>
      </c>
      <c r="C31" t="s">
        <v>67</v>
      </c>
      <c r="D31">
        <v>1.5</v>
      </c>
      <c r="E31">
        <v>10</v>
      </c>
    </row>
    <row r="32" spans="1:5">
      <c r="B32" s="1" t="s">
        <v>64</v>
      </c>
      <c r="C32" t="s">
        <v>68</v>
      </c>
      <c r="D32">
        <v>0.5</v>
      </c>
      <c r="E32">
        <v>10</v>
      </c>
    </row>
    <row r="33" spans="1:5">
      <c r="B33" s="1" t="s">
        <v>65</v>
      </c>
      <c r="C33" t="s">
        <v>69</v>
      </c>
      <c r="D33">
        <v>0.5</v>
      </c>
      <c r="E33">
        <v>10</v>
      </c>
    </row>
    <row r="34" spans="1:5">
      <c r="B34" s="1" t="s">
        <v>70</v>
      </c>
      <c r="C34" t="s">
        <v>60</v>
      </c>
      <c r="D34">
        <v>2</v>
      </c>
      <c r="E34">
        <v>10</v>
      </c>
    </row>
    <row r="35" spans="1:5">
      <c r="B35" s="1" t="s">
        <v>72</v>
      </c>
      <c r="C35" t="s">
        <v>77</v>
      </c>
      <c r="D35">
        <v>1.5</v>
      </c>
      <c r="E35">
        <v>10</v>
      </c>
    </row>
    <row r="36" spans="1:5">
      <c r="B36" s="1" t="s">
        <v>100</v>
      </c>
      <c r="C36" t="s">
        <v>91</v>
      </c>
      <c r="D36">
        <v>1.5</v>
      </c>
      <c r="E36">
        <v>10</v>
      </c>
    </row>
    <row r="37" spans="1:5">
      <c r="A37">
        <v>11</v>
      </c>
      <c r="B37" s="1" t="s">
        <v>79</v>
      </c>
      <c r="C37" t="s">
        <v>87</v>
      </c>
      <c r="D37">
        <v>0.5</v>
      </c>
      <c r="E37">
        <v>11</v>
      </c>
    </row>
    <row r="38" spans="1:5">
      <c r="B38" s="1" t="s">
        <v>80</v>
      </c>
      <c r="C38" t="s">
        <v>88</v>
      </c>
      <c r="D38">
        <v>0.5</v>
      </c>
      <c r="E38">
        <v>11</v>
      </c>
    </row>
    <row r="39" spans="1:5">
      <c r="B39" s="1" t="s">
        <v>81</v>
      </c>
      <c r="C39" t="s">
        <v>89</v>
      </c>
      <c r="D39">
        <v>1</v>
      </c>
      <c r="E39">
        <v>11</v>
      </c>
    </row>
    <row r="40" spans="1:5">
      <c r="B40" s="1" t="s">
        <v>82</v>
      </c>
      <c r="C40" t="s">
        <v>90</v>
      </c>
      <c r="D40">
        <v>0.5</v>
      </c>
      <c r="E40">
        <v>11</v>
      </c>
    </row>
    <row r="41" spans="1:5">
      <c r="B41" s="1" t="s">
        <v>101</v>
      </c>
      <c r="C41" t="s">
        <v>91</v>
      </c>
      <c r="D41">
        <v>4</v>
      </c>
      <c r="E41">
        <v>11</v>
      </c>
    </row>
    <row r="42" spans="1:5">
      <c r="B42" s="6" t="s">
        <v>92</v>
      </c>
      <c r="C42" t="s">
        <v>102</v>
      </c>
      <c r="D42">
        <v>1.5</v>
      </c>
      <c r="E42">
        <v>11</v>
      </c>
    </row>
    <row r="43" spans="1:5">
      <c r="A43">
        <v>12</v>
      </c>
      <c r="B43" s="1" t="s">
        <v>94</v>
      </c>
      <c r="C43" t="s">
        <v>91</v>
      </c>
      <c r="D43">
        <v>1.5</v>
      </c>
      <c r="E43">
        <v>12</v>
      </c>
    </row>
    <row r="44" spans="1:5">
      <c r="B44" s="1" t="s">
        <v>95</v>
      </c>
      <c r="C44" t="s">
        <v>104</v>
      </c>
      <c r="D44">
        <v>0.5</v>
      </c>
      <c r="E44">
        <v>12</v>
      </c>
    </row>
    <row r="45" spans="1:5">
      <c r="B45" s="1" t="s">
        <v>81</v>
      </c>
      <c r="C45" t="s">
        <v>89</v>
      </c>
      <c r="D45">
        <v>1</v>
      </c>
      <c r="E45">
        <v>12</v>
      </c>
    </row>
    <row r="46" spans="1:5">
      <c r="B46" s="1" t="s">
        <v>96</v>
      </c>
      <c r="C46" t="s">
        <v>105</v>
      </c>
      <c r="D46">
        <v>2</v>
      </c>
      <c r="E46">
        <v>12</v>
      </c>
    </row>
    <row r="47" spans="1:5">
      <c r="B47" s="1" t="s">
        <v>103</v>
      </c>
      <c r="C47" t="s">
        <v>106</v>
      </c>
      <c r="D47">
        <v>3</v>
      </c>
      <c r="E47">
        <v>12</v>
      </c>
    </row>
    <row r="48" spans="1:5">
      <c r="A48">
        <v>13</v>
      </c>
      <c r="B48" s="1" t="s">
        <v>115</v>
      </c>
      <c r="C48" t="s">
        <v>114</v>
      </c>
      <c r="D48">
        <v>2.5</v>
      </c>
      <c r="E48">
        <v>13</v>
      </c>
    </row>
    <row r="49" spans="2:5">
      <c r="B49" s="1" t="s">
        <v>107</v>
      </c>
      <c r="C49" t="s">
        <v>68</v>
      </c>
      <c r="D49">
        <v>1.5</v>
      </c>
      <c r="E49">
        <v>13</v>
      </c>
    </row>
    <row r="50" spans="2:5">
      <c r="B50" s="1" t="s">
        <v>116</v>
      </c>
      <c r="C50" t="s">
        <v>117</v>
      </c>
      <c r="D50">
        <v>2</v>
      </c>
      <c r="E50">
        <v>13</v>
      </c>
    </row>
    <row r="51" spans="2:5">
      <c r="B51" s="1" t="s">
        <v>108</v>
      </c>
      <c r="C51" t="s">
        <v>118</v>
      </c>
      <c r="D51">
        <v>0.5</v>
      </c>
      <c r="E51">
        <v>13</v>
      </c>
    </row>
    <row r="52" spans="2:5">
      <c r="B52" s="1" t="s">
        <v>120</v>
      </c>
      <c r="C52" t="s">
        <v>106</v>
      </c>
      <c r="D52">
        <v>1</v>
      </c>
      <c r="E52">
        <v>13</v>
      </c>
    </row>
    <row r="53" spans="2:5">
      <c r="B53" s="1" t="s">
        <v>109</v>
      </c>
      <c r="C53" t="s">
        <v>119</v>
      </c>
      <c r="D53">
        <v>0.5</v>
      </c>
      <c r="E53">
        <v>13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AB1A0-E840-482A-9041-C3CC1D8AFEDB}">
  <sheetPr codeName="工作表1"/>
  <dimension ref="A1:D24"/>
  <sheetViews>
    <sheetView workbookViewId="0">
      <selection activeCell="D10" sqref="D10:D18"/>
    </sheetView>
  </sheetViews>
  <sheetFormatPr defaultRowHeight="16.5"/>
  <cols>
    <col min="2" max="2" width="60.625" bestFit="1" customWidth="1"/>
  </cols>
  <sheetData>
    <row r="1" spans="1:4">
      <c r="A1">
        <v>2019</v>
      </c>
      <c r="B1" s="4" t="s">
        <v>51</v>
      </c>
      <c r="C1" s="2">
        <v>2.5</v>
      </c>
      <c r="D1" t="str">
        <f>CONCATENATE(B1,"(",C1)</f>
        <v>確認 DoLotCancel  , LotChangeRoute  實作內容(2.5</v>
      </c>
    </row>
    <row r="2" spans="1:4">
      <c r="A2">
        <v>2019</v>
      </c>
      <c r="B2" s="4" t="s">
        <v>71</v>
      </c>
      <c r="C2" s="2">
        <v>0.5</v>
      </c>
      <c r="D2" t="str">
        <f t="shared" ref="D2:D24" si="0">CONCATENATE(B2,"(",C2)</f>
        <v>回覆 Ying 的問題(0.5</v>
      </c>
    </row>
    <row r="3" spans="1:4">
      <c r="A3">
        <v>2019</v>
      </c>
      <c r="B3" s="4" t="s">
        <v>83</v>
      </c>
      <c r="C3" s="2">
        <v>0.5</v>
      </c>
      <c r="D3" t="str">
        <f t="shared" si="0"/>
        <v>協助 Jim 排除 x-reason-select 的使用問題(0.5</v>
      </c>
    </row>
    <row r="4" spans="1:4">
      <c r="A4">
        <v>2019</v>
      </c>
      <c r="B4" s="4" t="s">
        <v>84</v>
      </c>
      <c r="C4" s="2">
        <v>0.5</v>
      </c>
      <c r="D4" t="str">
        <f t="shared" si="0"/>
        <v>協助 Ying 處理  x-reason-select 控件連動的使用問題(0.5</v>
      </c>
    </row>
    <row r="5" spans="1:4">
      <c r="A5">
        <v>2019</v>
      </c>
      <c r="B5" s="4" t="s">
        <v>93</v>
      </c>
      <c r="C5" s="2">
        <v>1.5</v>
      </c>
      <c r="D5" t="str">
        <f t="shared" si="0"/>
        <v>BugFix(1.5</v>
      </c>
    </row>
    <row r="6" spans="1:4">
      <c r="A6">
        <v>2019</v>
      </c>
      <c r="B6" s="4" t="s">
        <v>97</v>
      </c>
      <c r="C6" s="2">
        <v>0.5</v>
      </c>
      <c r="D6" t="str">
        <f t="shared" si="0"/>
        <v>跟 joseph 追查 Vue 的顯示問題(0.5</v>
      </c>
    </row>
    <row r="7" spans="1:4">
      <c r="A7">
        <v>2019</v>
      </c>
      <c r="B7" s="4" t="s">
        <v>99</v>
      </c>
      <c r="C7" s="2">
        <v>4</v>
      </c>
      <c r="D7" t="str">
        <f t="shared" si="0"/>
        <v>將 波若威的code 移植到 2019 版(4</v>
      </c>
    </row>
    <row r="8" spans="1:4">
      <c r="A8">
        <v>2019</v>
      </c>
      <c r="B8" s="4" t="s">
        <v>111</v>
      </c>
      <c r="C8" s="2">
        <v>2</v>
      </c>
      <c r="D8" t="str">
        <f t="shared" si="0"/>
        <v>協助 joseph 排除 頁面部件的排版問題(2</v>
      </c>
    </row>
    <row r="9" spans="1:4">
      <c r="A9" t="s">
        <v>123</v>
      </c>
      <c r="B9" s="4" t="s">
        <v>86</v>
      </c>
      <c r="C9" s="2">
        <v>0.5</v>
      </c>
      <c r="D9" t="str">
        <f t="shared" si="0"/>
        <v>補充 x-reason-select 使用說明(0.5</v>
      </c>
    </row>
    <row r="10" spans="1:4">
      <c r="A10" t="s">
        <v>121</v>
      </c>
      <c r="B10" s="4" t="s">
        <v>50</v>
      </c>
      <c r="C10" s="2">
        <v>1.5</v>
      </c>
      <c r="D10" t="str">
        <f t="shared" si="0"/>
        <v>SG會議(1.5</v>
      </c>
    </row>
    <row r="11" spans="1:4">
      <c r="A11" t="s">
        <v>121</v>
      </c>
      <c r="B11" s="4" t="s">
        <v>53</v>
      </c>
      <c r="C11" s="2">
        <v>0.5</v>
      </c>
      <c r="D11" t="str">
        <f t="shared" si="0"/>
        <v>研究 波若威的需求與效益 分析的問題(0.5</v>
      </c>
    </row>
    <row r="12" spans="1:4">
      <c r="A12" t="s">
        <v>121</v>
      </c>
      <c r="B12" s="4" t="s">
        <v>52</v>
      </c>
      <c r="C12" s="2">
        <v>0.5</v>
      </c>
      <c r="D12" t="str">
        <f t="shared" si="0"/>
        <v>跟 Ivy 請教,關於 過站時, 下列的重要物料使用紀錄 的實作問題(0.5</v>
      </c>
    </row>
    <row r="13" spans="1:4">
      <c r="A13" t="s">
        <v>121</v>
      </c>
      <c r="B13" s="4" t="s">
        <v>73</v>
      </c>
      <c r="C13" s="2">
        <v>1.5</v>
      </c>
      <c r="D13" t="str">
        <f t="shared" si="0"/>
        <v>研讀 波若威的文件(1.5</v>
      </c>
    </row>
    <row r="14" spans="1:4">
      <c r="A14" t="s">
        <v>121</v>
      </c>
      <c r="B14" s="4" t="s">
        <v>74</v>
      </c>
      <c r="C14" s="2">
        <v>2</v>
      </c>
      <c r="D14" t="str">
        <f t="shared" si="0"/>
        <v>波若威工作討論(2</v>
      </c>
    </row>
    <row r="15" spans="1:4">
      <c r="A15" t="s">
        <v>121</v>
      </c>
      <c r="B15" s="4" t="s">
        <v>75</v>
      </c>
      <c r="C15" s="2">
        <v>0.5</v>
      </c>
      <c r="D15" t="str">
        <f t="shared" si="0"/>
        <v>跟 Ivy 討論 程式檔案分類的方向(0.5</v>
      </c>
    </row>
    <row r="16" spans="1:4">
      <c r="A16" t="s">
        <v>121</v>
      </c>
      <c r="B16" s="4" t="s">
        <v>85</v>
      </c>
      <c r="C16" s="2">
        <v>2</v>
      </c>
      <c r="D16" t="str">
        <f t="shared" si="0"/>
        <v>工作討論(2</v>
      </c>
    </row>
    <row r="17" spans="1:4">
      <c r="A17" t="s">
        <v>121</v>
      </c>
      <c r="B17" s="4" t="s">
        <v>112</v>
      </c>
      <c r="C17" s="2">
        <v>0.5</v>
      </c>
      <c r="D17" t="str">
        <f t="shared" si="0"/>
        <v>討論 x-select 元件控制的問題(0.5</v>
      </c>
    </row>
    <row r="18" spans="1:4">
      <c r="A18" t="s">
        <v>121</v>
      </c>
      <c r="B18" s="4" t="s">
        <v>113</v>
      </c>
      <c r="C18" s="2">
        <v>0.5</v>
      </c>
      <c r="D18" t="str">
        <f t="shared" si="0"/>
        <v>工作報告(0.5</v>
      </c>
    </row>
    <row r="19" spans="1:4">
      <c r="A19" t="s">
        <v>122</v>
      </c>
      <c r="B19" s="4" t="s">
        <v>49</v>
      </c>
      <c r="C19" s="2">
        <v>0.5</v>
      </c>
      <c r="D19" t="str">
        <f t="shared" si="0"/>
        <v>安裝 Report 專案 需要的工具(0.5</v>
      </c>
    </row>
    <row r="20" spans="1:4">
      <c r="A20" t="s">
        <v>122</v>
      </c>
      <c r="B20" s="4" t="s">
        <v>54</v>
      </c>
      <c r="C20" s="2">
        <v>4.5</v>
      </c>
      <c r="D20" t="str">
        <f t="shared" si="0"/>
        <v>修正 Report  -  LotHistory 的顯示問題(4.5</v>
      </c>
    </row>
    <row r="21" spans="1:4">
      <c r="A21" t="s">
        <v>122</v>
      </c>
      <c r="B21" s="4" t="s">
        <v>76</v>
      </c>
      <c r="C21" s="2">
        <v>1.5</v>
      </c>
      <c r="D21" t="str">
        <f t="shared" si="0"/>
        <v>修正 Report   Iframe 自適應 和外框的問題 顯示問題(1.5</v>
      </c>
    </row>
    <row r="22" spans="1:4">
      <c r="A22" t="s">
        <v>122</v>
      </c>
      <c r="B22" s="4" t="s">
        <v>78</v>
      </c>
      <c r="C22" s="2">
        <v>7</v>
      </c>
      <c r="D22" t="str">
        <f t="shared" si="0"/>
        <v>調整 Report  ScrollBar 顯示控式和樣式風格(7</v>
      </c>
    </row>
    <row r="23" spans="1:4">
      <c r="A23" t="s">
        <v>122</v>
      </c>
      <c r="B23" s="4" t="s">
        <v>98</v>
      </c>
      <c r="C23" s="2">
        <v>2</v>
      </c>
      <c r="D23" t="str">
        <f t="shared" si="0"/>
        <v>修正 Report 首面 的  scroll 呈現問題(2</v>
      </c>
    </row>
    <row r="24" spans="1:4">
      <c r="A24" t="s">
        <v>122</v>
      </c>
      <c r="B24" s="4" t="s">
        <v>110</v>
      </c>
      <c r="C24" s="2">
        <v>2.5</v>
      </c>
      <c r="D24" t="str">
        <f t="shared" si="0"/>
        <v>Fix-Report 首面 的scroll 隱藏造成畫面閃動的問題(2.5</v>
      </c>
    </row>
  </sheetData>
  <sortState xmlns:xlrd2="http://schemas.microsoft.com/office/spreadsheetml/2017/richdata2" ref="A1:C24">
    <sortCondition ref="A1:A24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具名範圍</vt:lpstr>
      </vt:variant>
      <vt:variant>
        <vt:i4>1</vt:i4>
      </vt:variant>
    </vt:vector>
  </HeadingPairs>
  <TitlesOfParts>
    <vt:vector size="5" baseType="lpstr">
      <vt:lpstr>工作表4</vt:lpstr>
      <vt:lpstr>工作表2</vt:lpstr>
      <vt:lpstr>記錄</vt:lpstr>
      <vt:lpstr>工作表1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thony</dc:creator>
  <cp:lastModifiedBy>thony</cp:lastModifiedBy>
  <dcterms:created xsi:type="dcterms:W3CDTF">2020-02-21T05:34:03Z</dcterms:created>
  <dcterms:modified xsi:type="dcterms:W3CDTF">2020-04-13T02:02:32Z</dcterms:modified>
</cp:coreProperties>
</file>